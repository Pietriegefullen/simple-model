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ra\Desktop\daten und code\"/>
    </mc:Choice>
  </mc:AlternateContent>
  <bookViews>
    <workbookView xWindow="0" yWindow="0" windowWidth="15528" windowHeight="12852"/>
  </bookViews>
  <sheets>
    <sheet name="Zusammenf. Permafrost Data" sheetId="1" r:id="rId1"/>
  </sheets>
  <definedNames>
    <definedName name="_13CGC_C.wke">#REF!</definedName>
    <definedName name="_xlnm.Print_Area" localSheetId="0">'Zusammenf. Permafrost Data'!$A$21:$I$33</definedName>
  </definedNames>
  <calcPr calcId="162913"/>
</workbook>
</file>

<file path=xl/calcChain.xml><?xml version="1.0" encoding="utf-8"?>
<calcChain xmlns="http://schemas.openxmlformats.org/spreadsheetml/2006/main">
  <c r="J45" i="1" l="1"/>
  <c r="H45" i="1"/>
  <c r="J44" i="1"/>
  <c r="H44" i="1"/>
  <c r="J43" i="1"/>
  <c r="H43" i="1"/>
  <c r="J42" i="1"/>
  <c r="H42" i="1"/>
  <c r="J41" i="1"/>
  <c r="H41" i="1"/>
  <c r="J40" i="1"/>
  <c r="H40" i="1"/>
  <c r="J39" i="1"/>
  <c r="H39" i="1"/>
  <c r="J38" i="1"/>
  <c r="H38" i="1"/>
  <c r="J37" i="1"/>
  <c r="H37" i="1"/>
  <c r="J32" i="1"/>
  <c r="H32" i="1"/>
  <c r="J31" i="1"/>
  <c r="H31" i="1"/>
  <c r="J30" i="1"/>
  <c r="H30" i="1"/>
  <c r="J29" i="1"/>
  <c r="H29" i="1"/>
  <c r="J24" i="1"/>
  <c r="H24" i="1"/>
  <c r="E24" i="1"/>
  <c r="J23" i="1"/>
  <c r="H23" i="1"/>
  <c r="J18" i="1"/>
  <c r="H18" i="1"/>
  <c r="J17" i="1"/>
  <c r="H17" i="1"/>
  <c r="J16" i="1"/>
  <c r="H16" i="1"/>
  <c r="J15" i="1"/>
  <c r="H15" i="1"/>
  <c r="J14" i="1"/>
  <c r="H14" i="1"/>
  <c r="J13" i="1"/>
  <c r="H13" i="1"/>
  <c r="J12" i="1"/>
  <c r="H12" i="1"/>
  <c r="J11" i="1"/>
  <c r="H11" i="1"/>
  <c r="J10" i="1"/>
  <c r="H10" i="1"/>
  <c r="J9" i="1"/>
  <c r="H9" i="1"/>
  <c r="J8" i="1"/>
  <c r="H8" i="1"/>
  <c r="J7" i="1"/>
  <c r="H7" i="1"/>
  <c r="J6" i="1"/>
  <c r="H6" i="1"/>
  <c r="J5" i="1"/>
  <c r="H5" i="1"/>
</calcChain>
</file>

<file path=xl/comments1.xml><?xml version="1.0" encoding="utf-8"?>
<comments xmlns="http://schemas.openxmlformats.org/spreadsheetml/2006/main">
  <authors>
    <author>Christian Knoblauch</author>
  </authors>
  <commentList>
    <comment ref="L10" authorId="0" shapeId="0">
      <text>
        <r>
          <rPr>
            <b/>
            <sz val="8"/>
            <color indexed="81"/>
            <rFont val="Tahoma"/>
            <family val="2"/>
          </rPr>
          <t>Christian Knoblauch:</t>
        </r>
        <r>
          <rPr>
            <sz val="8"/>
            <color indexed="81"/>
            <rFont val="Tahoma"/>
            <family val="2"/>
          </rPr>
          <t xml:space="preserve">
gemessen in Kiel Auftrag AWI</t>
        </r>
      </text>
    </comment>
    <comment ref="L15" authorId="0" shapeId="0">
      <text>
        <r>
          <rPr>
            <b/>
            <sz val="8"/>
            <color indexed="81"/>
            <rFont val="Tahoma"/>
            <family val="2"/>
          </rPr>
          <t>Christian Knoblauch:</t>
        </r>
        <r>
          <rPr>
            <sz val="8"/>
            <color indexed="81"/>
            <rFont val="Tahoma"/>
            <family val="2"/>
          </rPr>
          <t xml:space="preserve">
gemessen in Kiel, Auftrag AWI</t>
        </r>
      </text>
    </comment>
  </commentList>
</comments>
</file>

<file path=xl/sharedStrings.xml><?xml version="1.0" encoding="utf-8"?>
<sst xmlns="http://schemas.openxmlformats.org/spreadsheetml/2006/main" count="144" uniqueCount="61">
  <si>
    <t>Samples from the core at Kurugnakh</t>
  </si>
  <si>
    <t xml:space="preserve"> N 72°20, E 126°17</t>
  </si>
  <si>
    <t>nach Carbonatbestimmung</t>
  </si>
  <si>
    <t>Nach Fumigation</t>
  </si>
  <si>
    <t xml:space="preserve">Sample Nr. </t>
  </si>
  <si>
    <t>Lab-number</t>
  </si>
  <si>
    <t>Depth range</t>
  </si>
  <si>
    <t>depth</t>
  </si>
  <si>
    <t>Canorg (%)</t>
  </si>
  <si>
    <t>Corg (%)</t>
  </si>
  <si>
    <t>C/N</t>
  </si>
  <si>
    <t>Ntot  (%)</t>
  </si>
  <si>
    <r>
      <t>Ntot (</t>
    </r>
    <r>
      <rPr>
        <sz val="11"/>
        <rFont val="Calibri"/>
        <family val="2"/>
      </rPr>
      <t>‰</t>
    </r>
    <r>
      <rPr>
        <sz val="9.35"/>
        <rFont val="Arial"/>
        <family val="2"/>
      </rPr>
      <t>)</t>
    </r>
  </si>
  <si>
    <t>pH (H2O)</t>
  </si>
  <si>
    <t>age (BP)</t>
  </si>
  <si>
    <t>d13C (VPDB)</t>
  </si>
  <si>
    <t>STD</t>
  </si>
  <si>
    <t>Wassergehalt (%)</t>
  </si>
  <si>
    <t xml:space="preserve">Alter (berechnet) </t>
  </si>
  <si>
    <t>09-</t>
  </si>
  <si>
    <t>66-78</t>
  </si>
  <si>
    <t>2340 ± 40</t>
  </si>
  <si>
    <t>86-110</t>
  </si>
  <si>
    <t>116-129</t>
  </si>
  <si>
    <t>201-248</t>
  </si>
  <si>
    <t>305-342</t>
  </si>
  <si>
    <t>385-387</t>
  </si>
  <si>
    <t>16630 +/- ??</t>
  </si>
  <si>
    <t>495-517</t>
  </si>
  <si>
    <t>607-647</t>
  </si>
  <si>
    <t>900-956</t>
  </si>
  <si>
    <t>1091-1169</t>
  </si>
  <si>
    <t>1576-1615</t>
  </si>
  <si>
    <t>33950 +/- ??</t>
  </si>
  <si>
    <t>1734-1794</t>
  </si>
  <si>
    <t>2098-2166</t>
  </si>
  <si>
    <t>40000 ± 1000</t>
  </si>
  <si>
    <t>2233-2253</t>
  </si>
  <si>
    <t>Samples from the cliff at Kurugnakh</t>
  </si>
  <si>
    <t xml:space="preserve"> 72°19'36.10"N, 126°16'36.08"E</t>
  </si>
  <si>
    <t>samples from a permafrost exposure, sampled july 2008</t>
  </si>
  <si>
    <t>Cinorg (%)</t>
  </si>
  <si>
    <t>38000 ± 600</t>
  </si>
  <si>
    <t xml:space="preserve"> 72°19'39.01"N, 126°16'39.35"E</t>
  </si>
  <si>
    <t>21770 ± 110</t>
  </si>
  <si>
    <t>Core on Samoylov</t>
  </si>
  <si>
    <t>N 72°22'10'', E 126°28'30'', Höhe (GPS): 15m</t>
  </si>
  <si>
    <t>Samples from a permafrost core, sampled july 2007</t>
  </si>
  <si>
    <t>pH</t>
  </si>
  <si>
    <t>58-80</t>
  </si>
  <si>
    <t>80-95</t>
  </si>
  <si>
    <t>175 ± 25</t>
  </si>
  <si>
    <t>138-157</t>
  </si>
  <si>
    <t>193-210</t>
  </si>
  <si>
    <t>210-230</t>
  </si>
  <si>
    <t>1080  ± 30</t>
  </si>
  <si>
    <t>281-310</t>
  </si>
  <si>
    <t>319-335</t>
  </si>
  <si>
    <t>371-390</t>
  </si>
  <si>
    <t>406-432</t>
  </si>
  <si>
    <t>2455 ± 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</si>
</sst>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"/>
    <numFmt numFmtId="165" formatCode="0000"/>
    <numFmt numFmtId="166" formatCode="0.000"/>
  </numFmts>
  <fonts count="11" x14ac:knownFonts="1">
    <font>
      <sz val="11"/>
      <name val="Arial"/>
    </font>
    <font>
      <sz val="11"/>
      <name val="Arial"/>
      <family val="2"/>
    </font>
    <font>
      <sz val="11"/>
      <name val="Calibri"/>
      <family val="2"/>
    </font>
    <font>
      <sz val="9.35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1"/>
      <color indexed="60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0"/>
      <name val="MS Sans Serif"/>
      <family val="2"/>
    </font>
    <font>
      <sz val="10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1">
    <xf numFmtId="0" fontId="0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9" fillId="0" borderId="0"/>
    <xf numFmtId="0" fontId="9" fillId="0" borderId="0"/>
    <xf numFmtId="0" fontId="4" fillId="0" borderId="0"/>
    <xf numFmtId="0" fontId="9" fillId="0" borderId="0"/>
    <xf numFmtId="0" fontId="10" fillId="0" borderId="0"/>
  </cellStyleXfs>
  <cellXfs count="42">
    <xf numFmtId="0" fontId="0" fillId="0" borderId="0" xfId="0"/>
    <xf numFmtId="0" fontId="1" fillId="0" borderId="0" xfId="1"/>
    <xf numFmtId="0" fontId="1" fillId="0" borderId="0" xfId="1" applyBorder="1"/>
    <xf numFmtId="0" fontId="0" fillId="0" borderId="0" xfId="2" applyFont="1"/>
    <xf numFmtId="0" fontId="1" fillId="0" borderId="0" xfId="2" applyFont="1"/>
    <xf numFmtId="0" fontId="1" fillId="0" borderId="0" xfId="2" applyFont="1" applyFill="1"/>
    <xf numFmtId="0" fontId="1" fillId="0" borderId="0" xfId="2" applyFill="1"/>
    <xf numFmtId="0" fontId="1" fillId="0" borderId="0" xfId="2"/>
    <xf numFmtId="2" fontId="1" fillId="0" borderId="0" xfId="2" applyNumberFormat="1"/>
    <xf numFmtId="1" fontId="1" fillId="0" borderId="0" xfId="2" applyNumberFormat="1"/>
    <xf numFmtId="164" fontId="1" fillId="0" borderId="0" xfId="2" applyNumberFormat="1"/>
    <xf numFmtId="164" fontId="1" fillId="0" borderId="0" xfId="2" applyNumberFormat="1" applyFont="1" applyFill="1"/>
    <xf numFmtId="2" fontId="1" fillId="0" borderId="0" xfId="1" applyNumberFormat="1" applyFont="1"/>
    <xf numFmtId="2" fontId="1" fillId="0" borderId="0" xfId="1" applyNumberFormat="1"/>
    <xf numFmtId="164" fontId="1" fillId="0" borderId="0" xfId="1" applyNumberFormat="1"/>
    <xf numFmtId="2" fontId="1" fillId="0" borderId="0" xfId="1" quotePrefix="1" applyNumberFormat="1"/>
    <xf numFmtId="2" fontId="1" fillId="0" borderId="0" xfId="1" applyNumberFormat="1" applyBorder="1"/>
    <xf numFmtId="164" fontId="0" fillId="0" borderId="0" xfId="0" applyNumberFormat="1" applyFill="1" applyBorder="1"/>
    <xf numFmtId="164" fontId="1" fillId="0" borderId="0" xfId="2" applyNumberFormat="1" applyBorder="1"/>
    <xf numFmtId="0" fontId="1" fillId="0" borderId="0" xfId="1" applyFont="1"/>
    <xf numFmtId="2" fontId="1" fillId="0" borderId="0" xfId="2" applyNumberFormat="1" applyFont="1"/>
    <xf numFmtId="0" fontId="5" fillId="0" borderId="0" xfId="3" applyFont="1" applyFill="1" applyBorder="1" applyAlignment="1">
      <alignment horizontal="left"/>
    </xf>
    <xf numFmtId="0" fontId="4" fillId="0" borderId="0" xfId="3" applyFill="1" applyBorder="1"/>
    <xf numFmtId="165" fontId="4" fillId="0" borderId="1" xfId="3" applyNumberFormat="1" applyFill="1" applyBorder="1" applyAlignment="1">
      <alignment horizontal="left"/>
    </xf>
    <xf numFmtId="2" fontId="1" fillId="0" borderId="0" xfId="2" applyNumberFormat="1" applyFill="1"/>
    <xf numFmtId="0" fontId="0" fillId="0" borderId="0" xfId="0" applyFill="1" applyBorder="1"/>
    <xf numFmtId="165" fontId="4" fillId="0" borderId="0" xfId="3" applyNumberFormat="1" applyFill="1" applyBorder="1" applyAlignment="1">
      <alignment horizontal="left"/>
    </xf>
    <xf numFmtId="0" fontId="1" fillId="0" borderId="2" xfId="1" applyFont="1" applyBorder="1"/>
    <xf numFmtId="0" fontId="4" fillId="0" borderId="0" xfId="3" applyFill="1" applyAlignment="1">
      <alignment horizontal="right"/>
    </xf>
    <xf numFmtId="0" fontId="4" fillId="0" borderId="0" xfId="3" applyFill="1"/>
    <xf numFmtId="49" fontId="4" fillId="0" borderId="0" xfId="3" applyNumberFormat="1"/>
    <xf numFmtId="0" fontId="1" fillId="0" borderId="0" xfId="3" applyFont="1"/>
    <xf numFmtId="0" fontId="1" fillId="0" borderId="0" xfId="2" applyFont="1" applyFill="1" applyAlignment="1">
      <alignment horizontal="right"/>
    </xf>
    <xf numFmtId="0" fontId="1" fillId="0" borderId="0" xfId="2" applyFill="1" applyAlignment="1">
      <alignment horizontal="right"/>
    </xf>
    <xf numFmtId="0" fontId="2" fillId="0" borderId="0" xfId="1" applyFont="1"/>
    <xf numFmtId="166" fontId="1" fillId="0" borderId="0" xfId="1" applyNumberFormat="1"/>
    <xf numFmtId="0" fontId="1" fillId="0" borderId="0" xfId="2" applyFont="1" applyAlignment="1">
      <alignment horizontal="center"/>
    </xf>
    <xf numFmtId="0" fontId="1" fillId="0" borderId="0" xfId="2" applyFont="1" applyFill="1" applyAlignment="1">
      <alignment horizontal="center"/>
    </xf>
    <xf numFmtId="1" fontId="1" fillId="0" borderId="0" xfId="1" applyNumberFormat="1" applyFont="1"/>
    <xf numFmtId="0" fontId="1" fillId="0" borderId="0" xfId="1" applyFont="1" applyFill="1" applyBorder="1" applyAlignment="1">
      <alignment horizontal="right"/>
    </xf>
    <xf numFmtId="2" fontId="1" fillId="0" borderId="0" xfId="2" applyNumberFormat="1" applyBorder="1"/>
    <xf numFmtId="1" fontId="6" fillId="0" borderId="0" xfId="1" applyNumberFormat="1" applyFont="1"/>
  </cellXfs>
  <cellStyles count="11">
    <cellStyle name="Standard" xfId="0" builtinId="0"/>
    <cellStyle name="Standard 2" xfId="1"/>
    <cellStyle name="Standard 2 2" xfId="4"/>
    <cellStyle name="Standard 3" xfId="5"/>
    <cellStyle name="Standard 4" xfId="6"/>
    <cellStyle name="Standard 4 2" xfId="7"/>
    <cellStyle name="Standard 5" xfId="8"/>
    <cellStyle name="Standard 6" xfId="9"/>
    <cellStyle name="Standard 7" xfId="10"/>
    <cellStyle name="Standard_Gefrorene Proben aus Exkursionen vor 2008 2" xfId="2"/>
    <cellStyle name="Standard_results of Sashas samples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3:R117"/>
  <sheetViews>
    <sheetView tabSelected="1" zoomScale="85" zoomScaleNormal="100" workbookViewId="0">
      <selection activeCell="G4" sqref="G4"/>
    </sheetView>
  </sheetViews>
  <sheetFormatPr baseColWidth="10" defaultColWidth="9" defaultRowHeight="13.8" x14ac:dyDescent="0.25"/>
  <cols>
    <col min="1" max="1" width="26.3984375" style="1" customWidth="1"/>
    <col min="2" max="2" width="4.09765625" style="1" customWidth="1"/>
    <col min="3" max="3" width="6" style="1" customWidth="1"/>
    <col min="4" max="4" width="11.09765625" style="1" customWidth="1"/>
    <col min="5" max="5" width="12.09765625" style="1" bestFit="1" customWidth="1"/>
    <col min="6" max="11" width="9" style="1" customWidth="1"/>
    <col min="12" max="12" width="12.5" style="1" customWidth="1"/>
    <col min="13" max="13" width="12.3984375" style="1" customWidth="1"/>
    <col min="14" max="16" width="9" style="1"/>
    <col min="17" max="17" width="15.5" style="1" customWidth="1"/>
    <col min="18" max="16384" width="9" style="1"/>
  </cols>
  <sheetData>
    <row r="3" spans="1:18" x14ac:dyDescent="0.25">
      <c r="A3" s="1" t="s">
        <v>0</v>
      </c>
      <c r="E3" s="2" t="s">
        <v>1</v>
      </c>
      <c r="M3" s="3" t="s">
        <v>2</v>
      </c>
      <c r="N3" s="4"/>
      <c r="O3" s="3" t="s">
        <v>3</v>
      </c>
      <c r="P3" s="4"/>
    </row>
    <row r="4" spans="1:18" ht="14.4" x14ac:dyDescent="0.3">
      <c r="A4" s="1" t="s">
        <v>4</v>
      </c>
      <c r="B4" s="1" t="s">
        <v>5</v>
      </c>
      <c r="D4" s="1" t="s">
        <v>6</v>
      </c>
      <c r="E4" s="5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5" t="s">
        <v>14</v>
      </c>
      <c r="M4" s="4" t="s">
        <v>15</v>
      </c>
      <c r="N4" s="4" t="s">
        <v>16</v>
      </c>
      <c r="O4" s="4" t="s">
        <v>15</v>
      </c>
      <c r="P4" s="4" t="s">
        <v>16</v>
      </c>
      <c r="Q4" s="1" t="s">
        <v>17</v>
      </c>
      <c r="R4" s="1" t="s">
        <v>18</v>
      </c>
    </row>
    <row r="5" spans="1:18" x14ac:dyDescent="0.25">
      <c r="B5" s="1" t="s">
        <v>19</v>
      </c>
      <c r="C5" s="1">
        <v>1351</v>
      </c>
      <c r="D5" s="6" t="s">
        <v>20</v>
      </c>
      <c r="E5" s="6">
        <v>72</v>
      </c>
      <c r="F5" s="7"/>
      <c r="G5" s="8">
        <v>3.8780000000000001</v>
      </c>
      <c r="H5" s="9">
        <f>G5/I5</f>
        <v>19.487437185929647</v>
      </c>
      <c r="I5" s="10">
        <v>0.19900000000000001</v>
      </c>
      <c r="J5" s="10">
        <f>I5*10</f>
        <v>1.9900000000000002</v>
      </c>
      <c r="K5" s="10">
        <v>3.95</v>
      </c>
      <c r="L5" s="11" t="s">
        <v>21</v>
      </c>
      <c r="M5" s="12">
        <v>-29.091693628859119</v>
      </c>
      <c r="N5" s="13">
        <v>7.2667938399557888E-2</v>
      </c>
      <c r="Q5" s="14">
        <v>27.25199543899658</v>
      </c>
      <c r="R5" s="1">
        <v>2340</v>
      </c>
    </row>
    <row r="6" spans="1:18" x14ac:dyDescent="0.25">
      <c r="B6" s="1" t="s">
        <v>19</v>
      </c>
      <c r="C6" s="1">
        <v>1352</v>
      </c>
      <c r="D6" s="6" t="s">
        <v>22</v>
      </c>
      <c r="E6" s="6">
        <v>98</v>
      </c>
      <c r="F6" s="7"/>
      <c r="G6" s="8">
        <v>12.38</v>
      </c>
      <c r="H6" s="9">
        <f t="shared" ref="H6:H18" si="0">G6/I6</f>
        <v>15.974193548387097</v>
      </c>
      <c r="I6" s="10">
        <v>0.77500000000000002</v>
      </c>
      <c r="J6" s="10">
        <f t="shared" ref="J6:J18" si="1">I6*10</f>
        <v>7.75</v>
      </c>
      <c r="K6" s="10">
        <v>4.78</v>
      </c>
      <c r="M6" s="15">
        <v>-28.478612077046357</v>
      </c>
      <c r="N6" s="13">
        <v>0.47519132267149294</v>
      </c>
      <c r="Q6" s="14">
        <v>62.89</v>
      </c>
      <c r="R6" s="1">
        <v>2564.2718446601939</v>
      </c>
    </row>
    <row r="7" spans="1:18" x14ac:dyDescent="0.25">
      <c r="B7" s="1" t="s">
        <v>19</v>
      </c>
      <c r="C7" s="1">
        <v>1353</v>
      </c>
      <c r="D7" s="6" t="s">
        <v>23</v>
      </c>
      <c r="E7" s="6">
        <v>123</v>
      </c>
      <c r="F7" s="7"/>
      <c r="G7" s="8">
        <v>7.3470000000000004</v>
      </c>
      <c r="H7" s="9">
        <f t="shared" si="0"/>
        <v>15.37029288702929</v>
      </c>
      <c r="I7" s="10">
        <v>0.47799999999999998</v>
      </c>
      <c r="J7" s="10">
        <f t="shared" si="1"/>
        <v>4.7799999999999994</v>
      </c>
      <c r="K7" s="10">
        <v>4.3</v>
      </c>
      <c r="M7" s="15">
        <v>-28.559214417465455</v>
      </c>
      <c r="N7" s="13">
        <v>2.7784799976301323E-2</v>
      </c>
      <c r="Q7" s="14">
        <v>41.82</v>
      </c>
      <c r="R7" s="1">
        <v>3777.8640776699026</v>
      </c>
    </row>
    <row r="8" spans="1:18" x14ac:dyDescent="0.25">
      <c r="B8" s="1" t="s">
        <v>19</v>
      </c>
      <c r="C8" s="1">
        <v>1354</v>
      </c>
      <c r="D8" s="6" t="s">
        <v>24</v>
      </c>
      <c r="E8" s="6">
        <v>225</v>
      </c>
      <c r="F8" s="7"/>
      <c r="G8" s="8">
        <v>9.266</v>
      </c>
      <c r="H8" s="9">
        <f t="shared" si="0"/>
        <v>20.916478555304739</v>
      </c>
      <c r="I8" s="10">
        <v>0.443</v>
      </c>
      <c r="J8" s="10">
        <f t="shared" si="1"/>
        <v>4.43</v>
      </c>
      <c r="K8" s="10">
        <v>4.45</v>
      </c>
      <c r="M8" s="16">
        <v>-28.813615554413232</v>
      </c>
      <c r="N8" s="13">
        <v>0.14961046141085774</v>
      </c>
      <c r="Q8" s="14">
        <v>45.25</v>
      </c>
      <c r="R8" s="1">
        <v>8729.3203883495153</v>
      </c>
    </row>
    <row r="9" spans="1:18" x14ac:dyDescent="0.25">
      <c r="B9" s="1" t="s">
        <v>19</v>
      </c>
      <c r="C9" s="1">
        <v>1355</v>
      </c>
      <c r="D9" s="6" t="s">
        <v>25</v>
      </c>
      <c r="E9" s="6">
        <v>326</v>
      </c>
      <c r="F9" s="8">
        <v>0.27</v>
      </c>
      <c r="G9" s="8">
        <v>1.4550000000000001</v>
      </c>
      <c r="H9" s="9">
        <f t="shared" si="0"/>
        <v>10.93984962406015</v>
      </c>
      <c r="I9" s="10">
        <v>0.13300000000000001</v>
      </c>
      <c r="J9" s="10">
        <f t="shared" si="1"/>
        <v>1.33</v>
      </c>
      <c r="K9" s="10">
        <v>7.6</v>
      </c>
      <c r="M9" s="13">
        <v>-26.12005022066657</v>
      </c>
      <c r="N9" s="16">
        <v>8.6499999999999133E-2</v>
      </c>
      <c r="O9" s="13">
        <v>-25.964900000000004</v>
      </c>
      <c r="P9" s="13">
        <v>9.4500000000000028E-2</v>
      </c>
      <c r="Q9" s="14">
        <v>28.03</v>
      </c>
      <c r="R9" s="1">
        <v>16630</v>
      </c>
    </row>
    <row r="10" spans="1:18" x14ac:dyDescent="0.25">
      <c r="B10" s="1" t="s">
        <v>19</v>
      </c>
      <c r="C10" s="1">
        <v>1356</v>
      </c>
      <c r="D10" s="6" t="s">
        <v>26</v>
      </c>
      <c r="E10" s="6">
        <v>386</v>
      </c>
      <c r="F10" s="8">
        <v>0.23599999999999999</v>
      </c>
      <c r="G10" s="8">
        <v>2.5249999999999999</v>
      </c>
      <c r="H10" s="9">
        <f t="shared" si="0"/>
        <v>11.529680365296803</v>
      </c>
      <c r="I10" s="10">
        <v>0.219</v>
      </c>
      <c r="J10" s="10">
        <f t="shared" si="1"/>
        <v>2.19</v>
      </c>
      <c r="K10" s="10">
        <v>7.9</v>
      </c>
      <c r="L10" s="6" t="s">
        <v>27</v>
      </c>
      <c r="M10" s="13">
        <v>-25.755462182316244</v>
      </c>
      <c r="N10" s="16">
        <v>0.10700000000000109</v>
      </c>
      <c r="O10" s="13">
        <v>-25.460900000000002</v>
      </c>
      <c r="P10" s="13">
        <v>3.8500000000000867E-2</v>
      </c>
      <c r="Q10" s="14">
        <v>37.450000000000003</v>
      </c>
      <c r="R10" s="1">
        <v>16544.85436893204</v>
      </c>
    </row>
    <row r="11" spans="1:18" x14ac:dyDescent="0.25">
      <c r="B11" s="1" t="s">
        <v>19</v>
      </c>
      <c r="C11" s="1">
        <v>1357</v>
      </c>
      <c r="D11" s="6" t="s">
        <v>28</v>
      </c>
      <c r="E11" s="6">
        <v>506</v>
      </c>
      <c r="F11" s="8">
        <v>0.26200000000000001</v>
      </c>
      <c r="G11" s="8">
        <v>2.036</v>
      </c>
      <c r="H11" s="9">
        <f t="shared" si="0"/>
        <v>11.186813186813188</v>
      </c>
      <c r="I11" s="10">
        <v>0.182</v>
      </c>
      <c r="J11" s="10">
        <f t="shared" si="1"/>
        <v>1.8199999999999998</v>
      </c>
      <c r="K11" s="10">
        <v>8.08</v>
      </c>
      <c r="L11" s="6"/>
      <c r="M11" s="13">
        <v>-25.790957540709179</v>
      </c>
      <c r="N11" s="16">
        <v>6.3000000000000611E-2</v>
      </c>
      <c r="O11" s="13">
        <v>-25.663900000000005</v>
      </c>
      <c r="P11" s="13">
        <v>0.18849999999989439</v>
      </c>
      <c r="Q11" s="14">
        <v>30.63</v>
      </c>
      <c r="R11" s="1">
        <v>22056.369785794814</v>
      </c>
    </row>
    <row r="12" spans="1:18" x14ac:dyDescent="0.25">
      <c r="B12" s="1" t="s">
        <v>19</v>
      </c>
      <c r="C12" s="1">
        <v>1358</v>
      </c>
      <c r="D12" s="6" t="s">
        <v>29</v>
      </c>
      <c r="E12" s="6">
        <v>627</v>
      </c>
      <c r="F12" s="8">
        <v>0.14399999999999999</v>
      </c>
      <c r="G12" s="8">
        <v>1.524</v>
      </c>
      <c r="H12" s="9">
        <f t="shared" si="0"/>
        <v>11.043478260869565</v>
      </c>
      <c r="I12" s="10">
        <v>0.13800000000000001</v>
      </c>
      <c r="J12" s="10">
        <f t="shared" si="1"/>
        <v>1.3800000000000001</v>
      </c>
      <c r="K12" s="10">
        <v>7.43</v>
      </c>
      <c r="L12" s="6"/>
      <c r="M12" s="13">
        <v>-25.644160475482913</v>
      </c>
      <c r="N12" s="16">
        <v>0.25810273078895646</v>
      </c>
      <c r="O12" s="13"/>
      <c r="P12" s="13"/>
      <c r="Q12" s="14">
        <v>25.3</v>
      </c>
      <c r="R12" s="1">
        <v>23420.518602029311</v>
      </c>
    </row>
    <row r="13" spans="1:18" x14ac:dyDescent="0.25">
      <c r="B13" s="1" t="s">
        <v>19</v>
      </c>
      <c r="C13" s="1">
        <v>1359</v>
      </c>
      <c r="D13" s="6" t="s">
        <v>30</v>
      </c>
      <c r="E13" s="6">
        <v>928</v>
      </c>
      <c r="F13" s="8">
        <v>0.112</v>
      </c>
      <c r="G13" s="8">
        <v>1.7489999999999999</v>
      </c>
      <c r="H13" s="9">
        <f t="shared" si="0"/>
        <v>12.860294117647056</v>
      </c>
      <c r="I13" s="10">
        <v>0.13600000000000001</v>
      </c>
      <c r="J13" s="10">
        <f t="shared" si="1"/>
        <v>1.36</v>
      </c>
      <c r="K13" s="10">
        <v>7.57</v>
      </c>
      <c r="L13" s="6"/>
      <c r="M13" s="13">
        <v>-25.72030915468364</v>
      </c>
      <c r="N13" s="16">
        <v>8.3000000000000185E-2</v>
      </c>
      <c r="O13" s="13">
        <v>-25.375900000000001</v>
      </c>
      <c r="P13" s="13">
        <v>4.3499999999999872E-2</v>
      </c>
      <c r="Q13" s="17">
        <v>22.88</v>
      </c>
      <c r="R13" s="1">
        <v>26813.979706877115</v>
      </c>
    </row>
    <row r="14" spans="1:18" x14ac:dyDescent="0.25">
      <c r="B14" s="1" t="s">
        <v>19</v>
      </c>
      <c r="C14" s="1">
        <v>1360</v>
      </c>
      <c r="D14" s="6" t="s">
        <v>31</v>
      </c>
      <c r="E14" s="6">
        <v>1130</v>
      </c>
      <c r="F14" s="8">
        <v>6.2E-2</v>
      </c>
      <c r="G14" s="8">
        <v>3.6280000000000001</v>
      </c>
      <c r="H14" s="9">
        <f t="shared" si="0"/>
        <v>11.517460317460317</v>
      </c>
      <c r="I14" s="10">
        <v>0.315</v>
      </c>
      <c r="J14" s="10">
        <f t="shared" si="1"/>
        <v>3.15</v>
      </c>
      <c r="K14" s="10">
        <v>7.15</v>
      </c>
      <c r="L14" s="6"/>
      <c r="M14" s="13">
        <v>-26.227265742441965</v>
      </c>
      <c r="N14" s="16">
        <v>3.700000000000081E-2</v>
      </c>
      <c r="O14" s="13">
        <v>-25.5505</v>
      </c>
      <c r="P14" s="13">
        <v>1.7500000000000071E-2</v>
      </c>
      <c r="Q14" s="14">
        <v>29.26</v>
      </c>
      <c r="R14" s="1">
        <v>29091.319052987601</v>
      </c>
    </row>
    <row r="15" spans="1:18" x14ac:dyDescent="0.25">
      <c r="B15" s="1" t="s">
        <v>19</v>
      </c>
      <c r="C15" s="1">
        <v>1361</v>
      </c>
      <c r="D15" s="6" t="s">
        <v>32</v>
      </c>
      <c r="E15" s="6">
        <v>1595</v>
      </c>
      <c r="F15" s="8">
        <v>0.123</v>
      </c>
      <c r="G15" s="8">
        <v>9.5670000000000002</v>
      </c>
      <c r="H15" s="9">
        <f t="shared" si="0"/>
        <v>13.986842105263158</v>
      </c>
      <c r="I15" s="10">
        <v>0.68400000000000005</v>
      </c>
      <c r="J15" s="10">
        <f t="shared" si="1"/>
        <v>6.8400000000000007</v>
      </c>
      <c r="K15" s="10">
        <v>7.12</v>
      </c>
      <c r="L15" s="6" t="s">
        <v>33</v>
      </c>
      <c r="M15" s="13">
        <v>-26.838952882761141</v>
      </c>
      <c r="N15" s="16">
        <v>1.1499999999999844E-2</v>
      </c>
      <c r="O15" s="13">
        <v>-26.399500000000003</v>
      </c>
      <c r="P15" s="13">
        <v>0.15049999999999919</v>
      </c>
      <c r="Q15" s="14">
        <v>47.28</v>
      </c>
      <c r="R15" s="1">
        <v>34333.7091319053</v>
      </c>
    </row>
    <row r="16" spans="1:18" x14ac:dyDescent="0.25">
      <c r="B16" s="1" t="s">
        <v>19</v>
      </c>
      <c r="C16" s="1">
        <v>1362</v>
      </c>
      <c r="D16" s="6" t="s">
        <v>34</v>
      </c>
      <c r="E16" s="6">
        <v>1764</v>
      </c>
      <c r="F16" s="8">
        <v>5.8999999999999997E-2</v>
      </c>
      <c r="G16" s="8">
        <v>2.101</v>
      </c>
      <c r="H16" s="9">
        <f t="shared" si="0"/>
        <v>12.358823529411763</v>
      </c>
      <c r="I16" s="10">
        <v>0.17</v>
      </c>
      <c r="J16" s="10">
        <f t="shared" si="1"/>
        <v>1.7000000000000002</v>
      </c>
      <c r="K16" s="18">
        <v>7.28</v>
      </c>
      <c r="M16" s="13">
        <v>-26.201872213967306</v>
      </c>
      <c r="N16" s="13">
        <v>6.5212126130230155E-2</v>
      </c>
      <c r="Q16" s="14">
        <v>30.86</v>
      </c>
      <c r="R16" s="1">
        <v>36239.007891770008</v>
      </c>
    </row>
    <row r="17" spans="1:18" x14ac:dyDescent="0.25">
      <c r="B17" s="1" t="s">
        <v>19</v>
      </c>
      <c r="C17" s="1">
        <v>1363</v>
      </c>
      <c r="D17" s="6" t="s">
        <v>35</v>
      </c>
      <c r="E17" s="6">
        <v>2132</v>
      </c>
      <c r="F17" s="13">
        <v>2.5999999999999999E-2</v>
      </c>
      <c r="G17" s="8">
        <v>5.8120000000000003</v>
      </c>
      <c r="H17" s="9">
        <f t="shared" si="0"/>
        <v>13.707547169811322</v>
      </c>
      <c r="I17" s="10">
        <v>0.42399999999999999</v>
      </c>
      <c r="J17" s="10">
        <f t="shared" si="1"/>
        <v>4.24</v>
      </c>
      <c r="K17" s="10">
        <v>6.48</v>
      </c>
      <c r="L17" s="19" t="s">
        <v>36</v>
      </c>
      <c r="M17" s="13">
        <v>-27.360009905894003</v>
      </c>
      <c r="N17" s="13">
        <v>3.7754388812238512E-2</v>
      </c>
      <c r="Q17" s="14">
        <v>43.225806451612904</v>
      </c>
      <c r="R17" s="1">
        <v>40000</v>
      </c>
    </row>
    <row r="18" spans="1:18" x14ac:dyDescent="0.25">
      <c r="B18" s="1" t="s">
        <v>19</v>
      </c>
      <c r="C18" s="1">
        <v>1364</v>
      </c>
      <c r="D18" s="6" t="s">
        <v>37</v>
      </c>
      <c r="E18" s="6">
        <v>2243</v>
      </c>
      <c r="F18" s="13">
        <v>3.0000000000000001E-3</v>
      </c>
      <c r="G18" s="13">
        <v>0.57699999999999996</v>
      </c>
      <c r="H18" s="9">
        <f t="shared" si="0"/>
        <v>16.027777777777779</v>
      </c>
      <c r="I18" s="14">
        <v>3.5999999999999997E-2</v>
      </c>
      <c r="J18" s="10">
        <f t="shared" si="1"/>
        <v>0.36</v>
      </c>
      <c r="K18" s="14">
        <v>6.75</v>
      </c>
      <c r="M18" s="13">
        <v>-26.689687964338781</v>
      </c>
      <c r="N18" s="13">
        <v>0.10708517554016692</v>
      </c>
      <c r="Q18" s="14">
        <v>18.739999999999998</v>
      </c>
      <c r="R18" s="1">
        <v>41639.233370913193</v>
      </c>
    </row>
    <row r="19" spans="1:18" x14ac:dyDescent="0.25">
      <c r="D19" s="6"/>
      <c r="E19" s="6"/>
    </row>
    <row r="21" spans="1:18" x14ac:dyDescent="0.25">
      <c r="A21" s="5" t="s">
        <v>38</v>
      </c>
      <c r="E21" s="5" t="s">
        <v>39</v>
      </c>
      <c r="I21" s="20" t="s">
        <v>40</v>
      </c>
      <c r="J21" s="20"/>
      <c r="M21" s="3" t="s">
        <v>2</v>
      </c>
      <c r="N21" s="4"/>
      <c r="O21" s="3" t="s">
        <v>3</v>
      </c>
      <c r="P21" s="4"/>
      <c r="Q21" s="1" t="s">
        <v>17</v>
      </c>
      <c r="R21" s="1" t="s">
        <v>18</v>
      </c>
    </row>
    <row r="22" spans="1:18" ht="14.4" x14ac:dyDescent="0.3">
      <c r="B22" s="1" t="s">
        <v>5</v>
      </c>
      <c r="D22" s="1" t="s">
        <v>6</v>
      </c>
      <c r="E22" s="5" t="s">
        <v>7</v>
      </c>
      <c r="F22" s="4" t="s">
        <v>41</v>
      </c>
      <c r="G22" s="4" t="s">
        <v>9</v>
      </c>
      <c r="H22" s="4" t="s">
        <v>10</v>
      </c>
      <c r="I22" s="4" t="s">
        <v>11</v>
      </c>
      <c r="J22" s="4" t="s">
        <v>12</v>
      </c>
      <c r="K22" s="4" t="s">
        <v>13</v>
      </c>
      <c r="L22" s="5" t="s">
        <v>14</v>
      </c>
      <c r="M22" s="4" t="s">
        <v>15</v>
      </c>
      <c r="N22" s="4" t="s">
        <v>16</v>
      </c>
      <c r="O22" s="4" t="s">
        <v>15</v>
      </c>
      <c r="P22" s="4" t="s">
        <v>16</v>
      </c>
      <c r="R22" s="5"/>
    </row>
    <row r="23" spans="1:18" ht="15" x14ac:dyDescent="0.25">
      <c r="A23" s="21"/>
      <c r="B23" s="22" t="s">
        <v>19</v>
      </c>
      <c r="C23" s="23">
        <v>1365</v>
      </c>
      <c r="D23" s="5"/>
      <c r="E23" s="13">
        <v>1920</v>
      </c>
      <c r="F23" s="24">
        <v>4.2999999999999997E-2</v>
      </c>
      <c r="G23" s="24">
        <v>4.7649999999999997</v>
      </c>
      <c r="H23" s="9">
        <f>G23/I23</f>
        <v>12.441253263707571</v>
      </c>
      <c r="I23" s="8">
        <v>0.38300000000000001</v>
      </c>
      <c r="J23" s="8">
        <f>I23*10</f>
        <v>3.83</v>
      </c>
      <c r="K23" s="10">
        <v>6.44</v>
      </c>
      <c r="L23" s="19" t="s">
        <v>42</v>
      </c>
      <c r="M23" s="16">
        <v>-27.736899999999999</v>
      </c>
      <c r="N23" s="16">
        <v>5.8500000000000441E-2</v>
      </c>
      <c r="O23" s="13">
        <v>-27.072000000000003</v>
      </c>
      <c r="P23" s="13">
        <v>0.10499999999999865</v>
      </c>
      <c r="Q23" s="17">
        <v>50.562372188139058</v>
      </c>
      <c r="R23" s="1">
        <v>38000</v>
      </c>
    </row>
    <row r="24" spans="1:18" ht="15" x14ac:dyDescent="0.25">
      <c r="A24" s="21"/>
      <c r="B24" s="22" t="s">
        <v>19</v>
      </c>
      <c r="C24" s="23">
        <v>1366</v>
      </c>
      <c r="D24" s="5"/>
      <c r="E24" s="13">
        <f>E23+131-50</f>
        <v>2001</v>
      </c>
      <c r="F24" s="8">
        <v>7.9000000000000001E-2</v>
      </c>
      <c r="G24" s="8">
        <v>4.7830000000000004</v>
      </c>
      <c r="H24" s="9">
        <f>G24/I24</f>
        <v>13.360335195530729</v>
      </c>
      <c r="I24" s="8">
        <v>0.35799999999999998</v>
      </c>
      <c r="J24" s="8">
        <f>I24*10</f>
        <v>3.58</v>
      </c>
      <c r="K24" s="10">
        <v>7.22</v>
      </c>
      <c r="M24" s="16">
        <v>-28.801900000000003</v>
      </c>
      <c r="N24" s="16">
        <v>0.2825000000002843</v>
      </c>
      <c r="O24" s="13">
        <v>-28.227950000000003</v>
      </c>
      <c r="P24" s="13">
        <v>0.34473254488076627</v>
      </c>
      <c r="Q24" s="25">
        <v>43.44</v>
      </c>
      <c r="R24" s="1">
        <v>38900.315000000002</v>
      </c>
    </row>
    <row r="25" spans="1:18" ht="15" x14ac:dyDescent="0.25">
      <c r="A25" s="21"/>
      <c r="B25" s="22"/>
      <c r="C25" s="26"/>
      <c r="D25" s="5"/>
      <c r="E25" s="6"/>
      <c r="F25" s="8"/>
      <c r="I25" s="8"/>
      <c r="J25" s="8"/>
      <c r="K25" s="8"/>
      <c r="M25" s="16"/>
      <c r="N25" s="16"/>
      <c r="O25" s="13"/>
      <c r="P25" s="13"/>
    </row>
    <row r="26" spans="1:18" ht="15" x14ac:dyDescent="0.25">
      <c r="A26" s="21"/>
      <c r="B26" s="22"/>
      <c r="C26" s="26"/>
      <c r="D26" s="5"/>
      <c r="E26" s="6"/>
      <c r="F26" s="8"/>
      <c r="I26" s="8"/>
      <c r="J26" s="8"/>
      <c r="K26" s="8"/>
      <c r="M26" s="4"/>
      <c r="N26" s="4"/>
      <c r="O26" s="4"/>
      <c r="P26" s="4"/>
    </row>
    <row r="27" spans="1:18" x14ac:dyDescent="0.25">
      <c r="A27" s="5" t="s">
        <v>38</v>
      </c>
      <c r="B27" s="6"/>
      <c r="C27" s="6"/>
      <c r="D27" s="6"/>
      <c r="E27" s="5" t="s">
        <v>43</v>
      </c>
      <c r="F27" s="8"/>
      <c r="I27" s="20" t="s">
        <v>40</v>
      </c>
      <c r="J27" s="20"/>
      <c r="K27" s="8"/>
      <c r="M27" s="3" t="s">
        <v>2</v>
      </c>
      <c r="N27" s="4"/>
      <c r="O27" s="3" t="s">
        <v>3</v>
      </c>
      <c r="P27" s="4"/>
      <c r="Q27" s="1" t="s">
        <v>17</v>
      </c>
      <c r="R27" s="1" t="s">
        <v>18</v>
      </c>
    </row>
    <row r="28" spans="1:18" ht="14.4" x14ac:dyDescent="0.3">
      <c r="B28" s="1" t="s">
        <v>5</v>
      </c>
      <c r="D28" s="1" t="s">
        <v>6</v>
      </c>
      <c r="E28" s="5" t="s">
        <v>7</v>
      </c>
      <c r="F28" s="4" t="s">
        <v>41</v>
      </c>
      <c r="G28" s="4" t="s">
        <v>9</v>
      </c>
      <c r="H28" s="4" t="s">
        <v>10</v>
      </c>
      <c r="I28" s="4" t="s">
        <v>11</v>
      </c>
      <c r="J28" s="4" t="s">
        <v>12</v>
      </c>
      <c r="K28" s="4" t="s">
        <v>13</v>
      </c>
      <c r="L28" s="5" t="s">
        <v>14</v>
      </c>
      <c r="M28" s="4" t="s">
        <v>15</v>
      </c>
      <c r="N28" s="4" t="s">
        <v>16</v>
      </c>
      <c r="O28" s="4" t="s">
        <v>15</v>
      </c>
      <c r="P28" s="4" t="s">
        <v>16</v>
      </c>
      <c r="R28" s="5"/>
    </row>
    <row r="29" spans="1:18" ht="15" x14ac:dyDescent="0.25">
      <c r="A29" s="21"/>
      <c r="B29" s="22" t="s">
        <v>19</v>
      </c>
      <c r="C29" s="23">
        <v>1367</v>
      </c>
      <c r="D29" s="5"/>
      <c r="E29" s="1">
        <v>393.63799999999998</v>
      </c>
      <c r="F29" s="8">
        <v>9.4E-2</v>
      </c>
      <c r="G29" s="8">
        <v>3.7690000000000001</v>
      </c>
      <c r="H29" s="9">
        <f>G29/I29</f>
        <v>12.819727891156464</v>
      </c>
      <c r="I29" s="8">
        <v>0.29399999999999998</v>
      </c>
      <c r="J29" s="10">
        <f>I29*10</f>
        <v>2.94</v>
      </c>
      <c r="K29" s="10">
        <v>6.94</v>
      </c>
      <c r="M29" s="16">
        <v>-26.469400000000004</v>
      </c>
      <c r="N29" s="16">
        <v>2.1000000000000796E-2</v>
      </c>
      <c r="O29" s="13">
        <v>-25.636500000000002</v>
      </c>
      <c r="P29" s="13">
        <v>4.4499999999999318E-2</v>
      </c>
      <c r="Q29">
        <v>33.08</v>
      </c>
      <c r="R29" s="1">
        <v>16915.631067961163</v>
      </c>
    </row>
    <row r="30" spans="1:18" ht="15" x14ac:dyDescent="0.25">
      <c r="A30" s="21"/>
      <c r="B30" s="22" t="s">
        <v>19</v>
      </c>
      <c r="C30" s="23">
        <v>1368</v>
      </c>
      <c r="D30" s="5"/>
      <c r="E30" s="1">
        <v>493.63799999999998</v>
      </c>
      <c r="F30" s="8">
        <v>6.9000000000000006E-2</v>
      </c>
      <c r="G30" s="8">
        <v>5.9640000000000004</v>
      </c>
      <c r="H30" s="9">
        <f>G30/I30</f>
        <v>12.476987447698747</v>
      </c>
      <c r="I30" s="8">
        <v>0.47799999999999998</v>
      </c>
      <c r="J30" s="10">
        <f>I30*10</f>
        <v>4.7799999999999994</v>
      </c>
      <c r="K30" s="10">
        <v>7.05</v>
      </c>
      <c r="L30" s="19" t="s">
        <v>44</v>
      </c>
      <c r="M30" s="16">
        <v>-26.503400000000006</v>
      </c>
      <c r="N30" s="16">
        <v>2.9999999999999361E-2</v>
      </c>
      <c r="O30" s="13">
        <v>-25.891500000000001</v>
      </c>
      <c r="P30" s="13">
        <v>8.0500000000000682E-2</v>
      </c>
      <c r="Q30" s="17">
        <v>44.669299111549854</v>
      </c>
      <c r="R30" s="1">
        <v>21770</v>
      </c>
    </row>
    <row r="31" spans="1:18" ht="15" x14ac:dyDescent="0.25">
      <c r="A31" s="21"/>
      <c r="B31" s="22" t="s">
        <v>19</v>
      </c>
      <c r="C31" s="23">
        <v>1369</v>
      </c>
      <c r="D31" s="5"/>
      <c r="E31" s="1">
        <v>443.63799999999998</v>
      </c>
      <c r="F31" s="8">
        <v>0.14399999999999999</v>
      </c>
      <c r="G31" s="8">
        <v>4.87</v>
      </c>
      <c r="H31" s="9">
        <f>G31/I31</f>
        <v>13.954154727793698</v>
      </c>
      <c r="I31" s="8">
        <v>0.34899999999999998</v>
      </c>
      <c r="J31" s="10">
        <f>I31*10</f>
        <v>3.4899999999999998</v>
      </c>
      <c r="K31" s="10">
        <v>7.15</v>
      </c>
      <c r="M31" s="16">
        <v>-26.915400000000005</v>
      </c>
      <c r="N31" s="16">
        <v>1.2999999999999901E-2</v>
      </c>
      <c r="O31" s="13">
        <v>-26.4495</v>
      </c>
      <c r="P31" s="13">
        <v>2.4999999999995026E-3</v>
      </c>
      <c r="Q31">
        <v>37.39</v>
      </c>
      <c r="R31" s="1">
        <v>19342.815533980582</v>
      </c>
    </row>
    <row r="32" spans="1:18" ht="15" x14ac:dyDescent="0.25">
      <c r="A32" s="21"/>
      <c r="B32" s="22" t="s">
        <v>19</v>
      </c>
      <c r="C32" s="23">
        <v>1370</v>
      </c>
      <c r="D32" s="5"/>
      <c r="E32" s="1">
        <v>343.63799999999998</v>
      </c>
      <c r="F32" s="8">
        <v>5.7000000000000002E-2</v>
      </c>
      <c r="G32" s="8">
        <v>3.5720000000000001</v>
      </c>
      <c r="H32" s="9">
        <f>G32/I32</f>
        <v>13.479245283018868</v>
      </c>
      <c r="I32" s="8">
        <v>0.26500000000000001</v>
      </c>
      <c r="J32" s="10">
        <f>I32*10</f>
        <v>2.6500000000000004</v>
      </c>
      <c r="K32" s="10">
        <v>7.17</v>
      </c>
      <c r="M32" s="16">
        <v>-26.875400000000006</v>
      </c>
      <c r="N32" s="16">
        <v>4.1999999999999815E-2</v>
      </c>
      <c r="O32" s="13">
        <v>-26.170500000000001</v>
      </c>
      <c r="P32" s="13">
        <v>2.7499999999999858E-2</v>
      </c>
      <c r="Q32">
        <v>30.95</v>
      </c>
      <c r="R32" s="1">
        <v>14488.446601941747</v>
      </c>
    </row>
    <row r="33" spans="1:18" ht="15" x14ac:dyDescent="0.25">
      <c r="A33" s="21"/>
      <c r="B33" s="22"/>
      <c r="C33" s="26"/>
      <c r="D33" s="5"/>
      <c r="E33" s="6"/>
      <c r="F33" s="8"/>
      <c r="G33" s="8"/>
      <c r="H33" s="8"/>
      <c r="I33" s="8"/>
      <c r="J33" s="8"/>
      <c r="K33" s="8"/>
      <c r="M33" s="16"/>
      <c r="N33" s="16"/>
      <c r="O33" s="13"/>
      <c r="P33" s="13"/>
    </row>
    <row r="34" spans="1:18" ht="15" x14ac:dyDescent="0.25">
      <c r="A34" s="21"/>
      <c r="B34" s="22"/>
      <c r="C34" s="26"/>
      <c r="D34" s="5"/>
      <c r="E34" s="6"/>
      <c r="F34" s="8"/>
      <c r="G34" s="8"/>
      <c r="H34" s="8"/>
      <c r="I34" s="8"/>
      <c r="J34" s="8"/>
      <c r="K34" s="8"/>
      <c r="P34" s="14"/>
    </row>
    <row r="35" spans="1:18" x14ac:dyDescent="0.25">
      <c r="B35" s="5" t="s">
        <v>45</v>
      </c>
      <c r="E35" s="1" t="s">
        <v>46</v>
      </c>
      <c r="K35" s="27" t="s">
        <v>47</v>
      </c>
      <c r="M35" s="3" t="s">
        <v>2</v>
      </c>
      <c r="N35" s="4"/>
      <c r="O35" s="3" t="s">
        <v>3</v>
      </c>
      <c r="P35" s="4"/>
      <c r="Q35" s="1" t="s">
        <v>17</v>
      </c>
      <c r="R35" s="1" t="s">
        <v>18</v>
      </c>
    </row>
    <row r="36" spans="1:18" ht="14.4" x14ac:dyDescent="0.3">
      <c r="B36" s="1" t="s">
        <v>5</v>
      </c>
      <c r="C36" s="5"/>
      <c r="D36" s="1" t="s">
        <v>6</v>
      </c>
      <c r="E36" s="5" t="s">
        <v>7</v>
      </c>
      <c r="G36" s="4" t="s">
        <v>9</v>
      </c>
      <c r="H36" s="4" t="s">
        <v>10</v>
      </c>
      <c r="I36" s="5" t="s">
        <v>11</v>
      </c>
      <c r="J36" s="4" t="s">
        <v>12</v>
      </c>
      <c r="K36" s="5" t="s">
        <v>48</v>
      </c>
      <c r="L36" s="5" t="s">
        <v>14</v>
      </c>
      <c r="M36" s="4" t="s">
        <v>15</v>
      </c>
      <c r="N36" s="4" t="s">
        <v>16</v>
      </c>
      <c r="O36" s="4" t="s">
        <v>15</v>
      </c>
      <c r="P36" s="4" t="s">
        <v>16</v>
      </c>
    </row>
    <row r="37" spans="1:18" x14ac:dyDescent="0.25">
      <c r="A37" s="28"/>
      <c r="B37" s="29" t="s">
        <v>19</v>
      </c>
      <c r="C37" s="29">
        <v>1372</v>
      </c>
      <c r="D37" s="30" t="s">
        <v>49</v>
      </c>
      <c r="E37" s="31">
        <v>69</v>
      </c>
      <c r="F37" s="7"/>
      <c r="G37" s="8">
        <v>0.59599999999999997</v>
      </c>
      <c r="H37" s="9">
        <f t="shared" ref="H37:H45" si="2">G37/I37</f>
        <v>16.108108108108109</v>
      </c>
      <c r="I37" s="7">
        <v>3.6999999999999998E-2</v>
      </c>
      <c r="J37" s="10">
        <f t="shared" ref="J37:J45" si="3">I37*10</f>
        <v>0.37</v>
      </c>
      <c r="K37" s="7">
        <v>6.15</v>
      </c>
      <c r="M37" s="13">
        <v>-27.302321671555141</v>
      </c>
      <c r="N37" s="13">
        <v>0.1481855998736121</v>
      </c>
      <c r="P37" s="14"/>
      <c r="Q37" s="17">
        <v>20.96</v>
      </c>
      <c r="R37" s="1">
        <v>45.220700000000022</v>
      </c>
    </row>
    <row r="38" spans="1:18" x14ac:dyDescent="0.25">
      <c r="A38" s="28"/>
      <c r="B38" s="29" t="s">
        <v>19</v>
      </c>
      <c r="C38" s="29">
        <v>1373</v>
      </c>
      <c r="D38" s="30" t="s">
        <v>50</v>
      </c>
      <c r="E38" s="31">
        <v>87.5</v>
      </c>
      <c r="F38" s="7"/>
      <c r="G38" s="8">
        <v>1.3839999999999999</v>
      </c>
      <c r="H38" s="9">
        <f t="shared" si="2"/>
        <v>21.968253968253965</v>
      </c>
      <c r="I38" s="7">
        <v>6.3E-2</v>
      </c>
      <c r="J38" s="10">
        <f t="shared" si="3"/>
        <v>0.63</v>
      </c>
      <c r="K38" s="7">
        <v>6.08</v>
      </c>
      <c r="L38" s="5" t="s">
        <v>51</v>
      </c>
      <c r="M38" s="13">
        <v>-26.974370898974932</v>
      </c>
      <c r="N38" s="13">
        <v>0.39112449197405913</v>
      </c>
      <c r="P38" s="14"/>
      <c r="Q38" s="17">
        <v>31.97</v>
      </c>
      <c r="R38" s="1">
        <v>175</v>
      </c>
    </row>
    <row r="39" spans="1:18" x14ac:dyDescent="0.25">
      <c r="A39" s="28"/>
      <c r="B39" s="29" t="s">
        <v>19</v>
      </c>
      <c r="C39" s="29">
        <v>1374</v>
      </c>
      <c r="D39" s="30" t="s">
        <v>52</v>
      </c>
      <c r="E39" s="31">
        <v>146.5</v>
      </c>
      <c r="F39" s="7"/>
      <c r="G39" s="8">
        <v>4.593</v>
      </c>
      <c r="H39" s="9">
        <f t="shared" si="2"/>
        <v>25.659217877094974</v>
      </c>
      <c r="I39" s="7">
        <v>0.17899999999999999</v>
      </c>
      <c r="J39" s="10">
        <f t="shared" si="3"/>
        <v>1.79</v>
      </c>
      <c r="K39" s="7">
        <v>5.98</v>
      </c>
      <c r="M39" s="13">
        <v>-25.94114964772762</v>
      </c>
      <c r="N39" s="13">
        <v>0.27357341515108302</v>
      </c>
      <c r="P39" s="14"/>
      <c r="Q39" s="17">
        <v>64.260000000000005</v>
      </c>
      <c r="R39" s="1">
        <v>578.44395000000009</v>
      </c>
    </row>
    <row r="40" spans="1:18" x14ac:dyDescent="0.25">
      <c r="A40" s="28"/>
      <c r="B40" s="29" t="s">
        <v>19</v>
      </c>
      <c r="C40" s="29">
        <v>1375</v>
      </c>
      <c r="D40" s="30" t="s">
        <v>53</v>
      </c>
      <c r="E40" s="31">
        <v>201.5</v>
      </c>
      <c r="F40" s="7"/>
      <c r="G40" s="8">
        <v>4.3630000000000004</v>
      </c>
      <c r="H40" s="9">
        <f t="shared" si="2"/>
        <v>22.260204081632654</v>
      </c>
      <c r="I40" s="7">
        <v>0.19600000000000001</v>
      </c>
      <c r="J40" s="10">
        <f t="shared" si="3"/>
        <v>1.96</v>
      </c>
      <c r="K40" s="7">
        <v>5.77</v>
      </c>
      <c r="M40" s="13">
        <v>-27.399044480058059</v>
      </c>
      <c r="N40" s="13">
        <v>0.31061981511955555</v>
      </c>
      <c r="P40" s="14"/>
      <c r="Q40" s="17">
        <v>53.44</v>
      </c>
      <c r="R40" s="1">
        <v>956.86045000000013</v>
      </c>
    </row>
    <row r="41" spans="1:18" x14ac:dyDescent="0.25">
      <c r="A41" s="28"/>
      <c r="B41" s="29" t="s">
        <v>19</v>
      </c>
      <c r="C41" s="29">
        <v>1376</v>
      </c>
      <c r="D41" s="30" t="s">
        <v>54</v>
      </c>
      <c r="E41" s="31">
        <v>220</v>
      </c>
      <c r="F41" s="7">
        <v>3.9E-2</v>
      </c>
      <c r="G41" s="8">
        <v>6.78</v>
      </c>
      <c r="H41" s="9">
        <f t="shared" si="2"/>
        <v>22.675585284280938</v>
      </c>
      <c r="I41" s="7">
        <v>0.29899999999999999</v>
      </c>
      <c r="J41" s="10">
        <f t="shared" si="3"/>
        <v>2.9899999999999998</v>
      </c>
      <c r="K41" s="7">
        <v>5.99</v>
      </c>
      <c r="L41" s="5" t="s">
        <v>55</v>
      </c>
      <c r="M41" s="16">
        <v>-28.075900000000004</v>
      </c>
      <c r="N41" s="16">
        <v>8.1500000000000128E-2</v>
      </c>
      <c r="O41" s="13">
        <v>-27.584</v>
      </c>
      <c r="P41" s="13">
        <v>0.1509999999999998</v>
      </c>
      <c r="Q41" s="17">
        <v>53.9</v>
      </c>
      <c r="R41" s="1">
        <v>1080</v>
      </c>
    </row>
    <row r="42" spans="1:18" x14ac:dyDescent="0.25">
      <c r="A42" s="32"/>
      <c r="B42" s="6" t="s">
        <v>19</v>
      </c>
      <c r="C42" s="6">
        <v>1377</v>
      </c>
      <c r="D42" s="30" t="s">
        <v>56</v>
      </c>
      <c r="E42" s="4">
        <v>290.5</v>
      </c>
      <c r="F42" s="7">
        <v>7.0000000000000007E-2</v>
      </c>
      <c r="G42" s="8">
        <v>4.8289999999999997</v>
      </c>
      <c r="H42" s="9">
        <f t="shared" si="2"/>
        <v>23.788177339901473</v>
      </c>
      <c r="I42" s="7">
        <v>0.20300000000000001</v>
      </c>
      <c r="J42" s="10">
        <f t="shared" si="3"/>
        <v>2.0300000000000002</v>
      </c>
      <c r="K42" s="7">
        <v>6.42</v>
      </c>
      <c r="M42" s="16">
        <v>-26.649400000000007</v>
      </c>
      <c r="N42" s="16">
        <v>1.9000000000000128E-2</v>
      </c>
      <c r="O42" s="13">
        <v>-25.863500000000002</v>
      </c>
      <c r="P42" s="13">
        <v>0.11650000000000027</v>
      </c>
      <c r="Q42" s="17">
        <v>52.63</v>
      </c>
      <c r="R42" s="1">
        <v>1569.20715</v>
      </c>
    </row>
    <row r="43" spans="1:18" x14ac:dyDescent="0.25">
      <c r="A43" s="33"/>
      <c r="B43" s="6" t="s">
        <v>19</v>
      </c>
      <c r="C43" s="6">
        <v>1378</v>
      </c>
      <c r="D43" s="30" t="s">
        <v>57</v>
      </c>
      <c r="E43" s="4">
        <v>327</v>
      </c>
      <c r="F43" s="7">
        <v>9.4E-2</v>
      </c>
      <c r="G43" s="8">
        <v>4.04</v>
      </c>
      <c r="H43" s="9">
        <f t="shared" si="2"/>
        <v>19.238095238095237</v>
      </c>
      <c r="I43" s="7">
        <v>0.21</v>
      </c>
      <c r="J43" s="10">
        <f t="shared" si="3"/>
        <v>2.1</v>
      </c>
      <c r="K43" s="7">
        <v>6.37</v>
      </c>
      <c r="M43" s="16">
        <v>-26.620400000000004</v>
      </c>
      <c r="N43" s="16">
        <v>1.2000000000000455E-2</v>
      </c>
      <c r="O43" s="13">
        <v>-25.95</v>
      </c>
      <c r="P43" s="13">
        <v>0.12700000000000067</v>
      </c>
      <c r="Q43" s="17">
        <v>59.89</v>
      </c>
      <c r="R43" s="1">
        <v>1820.3380999999999</v>
      </c>
    </row>
    <row r="44" spans="1:18" x14ac:dyDescent="0.25">
      <c r="A44" s="33"/>
      <c r="B44" s="6" t="s">
        <v>19</v>
      </c>
      <c r="C44" s="6">
        <v>1379</v>
      </c>
      <c r="D44" s="30" t="s">
        <v>58</v>
      </c>
      <c r="E44" s="4">
        <v>379.5</v>
      </c>
      <c r="F44" s="7">
        <v>5.0999999999999997E-2</v>
      </c>
      <c r="G44" s="8">
        <v>3.16</v>
      </c>
      <c r="H44" s="9">
        <f t="shared" si="2"/>
        <v>14.905660377358492</v>
      </c>
      <c r="I44" s="7">
        <v>0.21199999999999999</v>
      </c>
      <c r="J44" s="10">
        <f t="shared" si="3"/>
        <v>2.12</v>
      </c>
      <c r="K44" s="7">
        <v>6.57</v>
      </c>
      <c r="M44" s="16">
        <v>-26.973900000000008</v>
      </c>
      <c r="N44" s="16">
        <v>1.4499999999999957E-2</v>
      </c>
      <c r="O44" s="13">
        <v>-26.406500000000001</v>
      </c>
      <c r="P44" s="13">
        <v>3.8499999999999091E-2</v>
      </c>
      <c r="Q44" s="17">
        <v>48.1</v>
      </c>
      <c r="R44" s="1">
        <v>2181.5538500000002</v>
      </c>
    </row>
    <row r="45" spans="1:18" x14ac:dyDescent="0.25">
      <c r="A45" s="32"/>
      <c r="B45" s="6" t="s">
        <v>19</v>
      </c>
      <c r="C45" s="6">
        <v>1380</v>
      </c>
      <c r="D45" s="30" t="s">
        <v>59</v>
      </c>
      <c r="E45" s="4">
        <v>419</v>
      </c>
      <c r="F45" s="7">
        <v>7.2999999999999995E-2</v>
      </c>
      <c r="G45" s="8">
        <v>1.887</v>
      </c>
      <c r="H45" s="9">
        <f t="shared" si="2"/>
        <v>14.627906976744185</v>
      </c>
      <c r="I45" s="7">
        <v>0.129</v>
      </c>
      <c r="J45" s="10">
        <f t="shared" si="3"/>
        <v>1.29</v>
      </c>
      <c r="K45" s="7">
        <v>6.74</v>
      </c>
      <c r="L45" s="5" t="s">
        <v>60</v>
      </c>
      <c r="M45" s="16">
        <v>-26.642400000000002</v>
      </c>
      <c r="N45" s="16">
        <v>4.699999999999882E-2</v>
      </c>
      <c r="O45" s="13">
        <v>-26.226000000000003</v>
      </c>
      <c r="P45" s="13">
        <v>7.949999999999946E-2</v>
      </c>
      <c r="Q45" s="17">
        <v>12.24</v>
      </c>
      <c r="R45" s="1">
        <v>2455</v>
      </c>
    </row>
    <row r="47" spans="1:18" ht="14.4" x14ac:dyDescent="0.3">
      <c r="Q47" s="34"/>
    </row>
    <row r="48" spans="1:18" x14ac:dyDescent="0.25">
      <c r="E48" s="31"/>
    </row>
    <row r="49" spans="5:5" x14ac:dyDescent="0.25">
      <c r="E49" s="31"/>
    </row>
    <row r="50" spans="5:5" x14ac:dyDescent="0.25">
      <c r="E50" s="31"/>
    </row>
    <row r="51" spans="5:5" x14ac:dyDescent="0.25">
      <c r="E51" s="31"/>
    </row>
    <row r="52" spans="5:5" x14ac:dyDescent="0.25">
      <c r="E52" s="31"/>
    </row>
    <row r="53" spans="5:5" x14ac:dyDescent="0.25">
      <c r="E53" s="31"/>
    </row>
    <row r="54" spans="5:5" x14ac:dyDescent="0.25">
      <c r="E54" s="4"/>
    </row>
    <row r="55" spans="5:5" x14ac:dyDescent="0.25">
      <c r="E55" s="4"/>
    </row>
    <row r="56" spans="5:5" x14ac:dyDescent="0.25">
      <c r="E56" s="4"/>
    </row>
    <row r="57" spans="5:5" x14ac:dyDescent="0.25">
      <c r="E57" s="4"/>
    </row>
    <row r="67" spans="5:5" x14ac:dyDescent="0.25">
      <c r="E67" s="35"/>
    </row>
    <row r="82" spans="6:15" x14ac:dyDescent="0.25">
      <c r="G82" s="36"/>
      <c r="H82" s="36"/>
      <c r="I82" s="36"/>
      <c r="J82" s="37"/>
      <c r="K82" s="36"/>
      <c r="L82" s="37"/>
    </row>
    <row r="83" spans="6:15" x14ac:dyDescent="0.25">
      <c r="F83" s="37"/>
      <c r="G83" s="8"/>
      <c r="H83" s="8"/>
      <c r="I83" s="8"/>
      <c r="J83" s="13"/>
      <c r="K83" s="8"/>
      <c r="L83" s="38"/>
      <c r="N83" s="19"/>
      <c r="O83" s="19"/>
    </row>
    <row r="84" spans="6:15" x14ac:dyDescent="0.25">
      <c r="G84" s="8"/>
      <c r="H84" s="8"/>
      <c r="I84" s="8"/>
      <c r="J84" s="13"/>
      <c r="K84" s="8"/>
      <c r="L84" s="38"/>
      <c r="M84" s="13"/>
      <c r="N84" s="13"/>
      <c r="O84" s="13"/>
    </row>
    <row r="85" spans="6:15" x14ac:dyDescent="0.25">
      <c r="G85" s="8"/>
      <c r="H85" s="8"/>
      <c r="I85" s="8"/>
      <c r="J85" s="13"/>
      <c r="K85" s="8"/>
      <c r="L85" s="38"/>
      <c r="M85" s="13"/>
      <c r="N85" s="13"/>
      <c r="O85" s="13"/>
    </row>
    <row r="86" spans="6:15" x14ac:dyDescent="0.25">
      <c r="G86" s="8"/>
      <c r="H86" s="8"/>
      <c r="I86" s="8"/>
      <c r="J86" s="13"/>
      <c r="K86" s="8"/>
      <c r="L86" s="38"/>
      <c r="M86" s="13"/>
      <c r="N86" s="13"/>
      <c r="O86" s="13"/>
    </row>
    <row r="87" spans="6:15" x14ac:dyDescent="0.25">
      <c r="G87" s="8"/>
      <c r="H87" s="8"/>
      <c r="I87" s="8"/>
      <c r="J87" s="13"/>
      <c r="K87" s="8"/>
      <c r="L87" s="38"/>
      <c r="M87" s="13"/>
      <c r="N87" s="13"/>
      <c r="O87" s="13"/>
    </row>
    <row r="88" spans="6:15" x14ac:dyDescent="0.25">
      <c r="G88" s="8"/>
      <c r="H88" s="8"/>
      <c r="I88" s="8"/>
      <c r="J88" s="13"/>
      <c r="K88" s="8"/>
      <c r="L88" s="39"/>
      <c r="M88" s="13"/>
      <c r="N88" s="13"/>
      <c r="O88" s="13"/>
    </row>
    <row r="89" spans="6:15" x14ac:dyDescent="0.25">
      <c r="G89" s="8"/>
      <c r="H89" s="8"/>
      <c r="I89" s="8"/>
      <c r="J89" s="13"/>
      <c r="K89" s="8"/>
      <c r="L89" s="38"/>
      <c r="M89" s="13"/>
      <c r="N89" s="13"/>
      <c r="O89" s="13"/>
    </row>
    <row r="90" spans="6:15" x14ac:dyDescent="0.25">
      <c r="G90" s="8"/>
      <c r="H90" s="8"/>
      <c r="I90" s="8"/>
      <c r="J90" s="13"/>
      <c r="K90" s="8"/>
      <c r="L90" s="38"/>
      <c r="M90" s="13"/>
      <c r="N90" s="13"/>
      <c r="O90" s="13"/>
    </row>
    <row r="91" spans="6:15" x14ac:dyDescent="0.25">
      <c r="G91" s="8"/>
      <c r="H91" s="8"/>
      <c r="I91" s="8"/>
      <c r="J91" s="13"/>
      <c r="K91" s="8"/>
      <c r="L91" s="38"/>
      <c r="M91" s="13"/>
      <c r="N91" s="13"/>
      <c r="O91" s="13"/>
    </row>
    <row r="92" spans="6:15" x14ac:dyDescent="0.25">
      <c r="G92" s="8"/>
      <c r="H92" s="8"/>
      <c r="I92" s="8"/>
      <c r="J92" s="13"/>
      <c r="K92" s="8"/>
      <c r="L92" s="38"/>
      <c r="M92" s="13"/>
      <c r="N92" s="13"/>
      <c r="O92" s="13"/>
    </row>
    <row r="93" spans="6:15" x14ac:dyDescent="0.25">
      <c r="G93" s="8"/>
      <c r="H93" s="8"/>
      <c r="I93" s="8"/>
      <c r="J93" s="13"/>
      <c r="K93" s="8"/>
      <c r="L93" s="38"/>
      <c r="M93" s="13"/>
      <c r="N93" s="13"/>
      <c r="O93" s="13"/>
    </row>
    <row r="94" spans="6:15" x14ac:dyDescent="0.25">
      <c r="G94" s="8"/>
      <c r="H94" s="8"/>
      <c r="I94" s="8"/>
      <c r="J94" s="13"/>
      <c r="K94" s="40"/>
      <c r="L94" s="38"/>
      <c r="M94" s="13"/>
      <c r="N94" s="13"/>
      <c r="O94" s="13"/>
    </row>
    <row r="95" spans="6:15" x14ac:dyDescent="0.25">
      <c r="G95" s="8"/>
      <c r="H95" s="8"/>
      <c r="I95" s="8"/>
      <c r="J95" s="13"/>
      <c r="K95" s="8"/>
      <c r="L95" s="38"/>
      <c r="M95" s="13"/>
      <c r="N95" s="13"/>
      <c r="O95" s="13"/>
    </row>
    <row r="96" spans="6:15" x14ac:dyDescent="0.25">
      <c r="G96" s="13"/>
      <c r="H96" s="13"/>
      <c r="I96" s="13"/>
      <c r="J96" s="13"/>
      <c r="K96" s="13"/>
      <c r="L96" s="38"/>
      <c r="M96" s="13"/>
      <c r="N96" s="13"/>
      <c r="O96" s="13"/>
    </row>
    <row r="97" spans="6:15" x14ac:dyDescent="0.25">
      <c r="G97" s="24"/>
      <c r="H97" s="24"/>
      <c r="I97" s="8"/>
      <c r="J97" s="13"/>
      <c r="K97" s="8"/>
      <c r="L97" s="38"/>
      <c r="M97" s="13"/>
      <c r="N97" s="13"/>
      <c r="O97" s="13"/>
    </row>
    <row r="98" spans="6:15" x14ac:dyDescent="0.25">
      <c r="G98" s="8"/>
      <c r="H98" s="8"/>
      <c r="I98" s="8"/>
      <c r="J98" s="13"/>
      <c r="K98" s="8"/>
      <c r="L98" s="38"/>
      <c r="M98" s="13"/>
      <c r="N98" s="13"/>
      <c r="O98" s="13"/>
    </row>
    <row r="99" spans="6:15" x14ac:dyDescent="0.25">
      <c r="G99" s="8"/>
      <c r="H99" s="8"/>
      <c r="I99" s="8"/>
      <c r="J99" s="13"/>
      <c r="K99" s="8"/>
      <c r="L99" s="38"/>
      <c r="M99" s="13"/>
      <c r="N99" s="13"/>
      <c r="O99" s="13"/>
    </row>
    <row r="100" spans="6:15" x14ac:dyDescent="0.25">
      <c r="G100" s="8"/>
      <c r="H100" s="8"/>
      <c r="I100" s="8"/>
      <c r="J100" s="13"/>
      <c r="K100" s="8"/>
      <c r="L100" s="38"/>
      <c r="M100" s="13"/>
      <c r="N100" s="13"/>
      <c r="O100" s="13"/>
    </row>
    <row r="101" spans="6:15" x14ac:dyDescent="0.25">
      <c r="G101" s="8"/>
      <c r="H101" s="8"/>
      <c r="I101" s="8"/>
      <c r="J101" s="13"/>
      <c r="K101" s="8"/>
      <c r="L101" s="38"/>
      <c r="M101" s="13"/>
      <c r="N101" s="13"/>
      <c r="O101" s="13"/>
    </row>
    <row r="102" spans="6:15" x14ac:dyDescent="0.25">
      <c r="G102" s="8"/>
      <c r="H102" s="8"/>
      <c r="I102" s="8"/>
      <c r="J102" s="13"/>
      <c r="K102" s="8"/>
      <c r="L102" s="38"/>
      <c r="M102" s="13"/>
      <c r="N102" s="13"/>
      <c r="O102" s="13"/>
    </row>
    <row r="103" spans="6:15" x14ac:dyDescent="0.25">
      <c r="G103" s="8"/>
      <c r="H103" s="8"/>
      <c r="I103" s="8"/>
      <c r="J103" s="14"/>
      <c r="K103" s="8"/>
      <c r="L103" s="41"/>
      <c r="M103" s="13"/>
      <c r="N103" s="13"/>
      <c r="O103" s="13"/>
    </row>
    <row r="104" spans="6:15" x14ac:dyDescent="0.25">
      <c r="G104" s="8"/>
      <c r="H104" s="8"/>
      <c r="I104" s="8"/>
      <c r="J104" s="14"/>
      <c r="K104" s="8"/>
      <c r="L104" s="41"/>
      <c r="M104" s="13"/>
      <c r="N104" s="13"/>
      <c r="O104" s="13"/>
    </row>
    <row r="105" spans="6:15" x14ac:dyDescent="0.25">
      <c r="M105" s="13"/>
    </row>
    <row r="106" spans="6:15" x14ac:dyDescent="0.25">
      <c r="G106" s="36"/>
      <c r="H106" s="36"/>
      <c r="I106" s="36"/>
      <c r="J106" s="37"/>
      <c r="K106" s="36"/>
      <c r="L106" s="37"/>
    </row>
    <row r="107" spans="6:15" x14ac:dyDescent="0.25">
      <c r="F107" s="37"/>
      <c r="G107" s="8"/>
      <c r="H107" s="8"/>
      <c r="I107" s="8"/>
      <c r="J107" s="13"/>
      <c r="K107" s="8"/>
      <c r="L107" s="13"/>
    </row>
    <row r="108" spans="6:15" x14ac:dyDescent="0.25">
      <c r="F108" s="31"/>
      <c r="G108" s="8"/>
      <c r="H108" s="8"/>
      <c r="I108" s="8"/>
      <c r="J108" s="13"/>
      <c r="K108" s="8"/>
      <c r="L108" s="13"/>
      <c r="M108" s="13"/>
      <c r="N108" s="13"/>
      <c r="O108" s="13"/>
    </row>
    <row r="109" spans="6:15" x14ac:dyDescent="0.25">
      <c r="F109" s="31"/>
      <c r="G109" s="8"/>
      <c r="H109" s="8"/>
      <c r="I109" s="8"/>
      <c r="J109" s="13"/>
      <c r="K109" s="8"/>
      <c r="L109" s="13"/>
      <c r="M109" s="13"/>
      <c r="N109" s="13"/>
      <c r="O109" s="13"/>
    </row>
    <row r="110" spans="6:15" x14ac:dyDescent="0.25">
      <c r="F110" s="31"/>
      <c r="G110" s="8"/>
      <c r="H110" s="8"/>
      <c r="I110" s="8"/>
      <c r="J110" s="13"/>
      <c r="K110" s="8"/>
      <c r="L110" s="13"/>
      <c r="M110" s="13"/>
      <c r="N110" s="13"/>
      <c r="O110" s="13"/>
    </row>
    <row r="111" spans="6:15" x14ac:dyDescent="0.25">
      <c r="F111" s="31"/>
      <c r="G111" s="8"/>
      <c r="H111" s="8"/>
      <c r="I111" s="8"/>
      <c r="J111" s="13"/>
      <c r="K111" s="8"/>
      <c r="L111" s="13"/>
      <c r="M111" s="13"/>
      <c r="N111" s="13"/>
      <c r="O111" s="13"/>
    </row>
    <row r="112" spans="6:15" x14ac:dyDescent="0.25">
      <c r="F112" s="31"/>
      <c r="G112" s="8"/>
      <c r="H112" s="8"/>
      <c r="I112" s="8"/>
      <c r="J112" s="13"/>
      <c r="K112" s="8"/>
      <c r="L112" s="13"/>
      <c r="M112" s="13"/>
      <c r="N112" s="13"/>
      <c r="O112" s="13"/>
    </row>
    <row r="113" spans="6:15" x14ac:dyDescent="0.25">
      <c r="F113" s="31"/>
      <c r="G113" s="8"/>
      <c r="H113" s="8"/>
      <c r="I113" s="8"/>
      <c r="J113" s="13"/>
      <c r="K113" s="8"/>
      <c r="L113" s="13"/>
      <c r="M113" s="13"/>
      <c r="N113" s="13"/>
      <c r="O113" s="13"/>
    </row>
    <row r="114" spans="6:15" x14ac:dyDescent="0.25">
      <c r="F114" s="4"/>
      <c r="G114" s="8"/>
      <c r="H114" s="8"/>
      <c r="I114" s="8"/>
      <c r="J114" s="13"/>
      <c r="K114" s="8"/>
      <c r="L114" s="13"/>
      <c r="M114" s="13"/>
      <c r="N114" s="13"/>
      <c r="O114" s="13"/>
    </row>
    <row r="115" spans="6:15" x14ac:dyDescent="0.25">
      <c r="F115" s="4"/>
      <c r="G115" s="8"/>
      <c r="H115" s="8"/>
      <c r="I115" s="8"/>
      <c r="J115" s="13"/>
      <c r="K115" s="8"/>
      <c r="L115" s="13"/>
      <c r="M115" s="13"/>
      <c r="N115" s="13"/>
      <c r="O115" s="13"/>
    </row>
    <row r="116" spans="6:15" x14ac:dyDescent="0.25">
      <c r="F116" s="4"/>
      <c r="G116" s="8"/>
      <c r="H116" s="8"/>
      <c r="I116" s="8"/>
      <c r="J116" s="13"/>
      <c r="K116" s="8"/>
      <c r="L116" s="13"/>
      <c r="M116" s="13"/>
      <c r="N116" s="13"/>
      <c r="O116" s="13"/>
    </row>
    <row r="117" spans="6:15" x14ac:dyDescent="0.25">
      <c r="F117" s="4"/>
      <c r="M117" s="13"/>
      <c r="N117" s="13"/>
      <c r="O117" s="13"/>
    </row>
  </sheetData>
  <pageMargins left="0.7" right="0.7" top="0.78740157499999996" bottom="0.78740157499999996" header="0.3" footer="0.3"/>
  <pageSetup paperSize="9" scale="67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Zusammenf. Permafrost Data</vt:lpstr>
      <vt:lpstr>'Zusammenf. Permafrost Data'!Druckbereich</vt:lpstr>
    </vt:vector>
  </TitlesOfParts>
  <Manager/>
  <Company>Microsoft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Christian Knoblauch</dc:creator>
  <cp:keywords/>
  <dc:description/>
  <cp:lastModifiedBy>Lara Kaiser</cp:lastModifiedBy>
  <cp:revision/>
  <dcterms:created xsi:type="dcterms:W3CDTF">2014-02-04T18:24:07Z</dcterms:created>
  <dcterms:modified xsi:type="dcterms:W3CDTF">2021-04-28T09:45:46Z</dcterms:modified>
  <cp:category/>
  <cp:contentStatus/>
</cp:coreProperties>
</file>